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akb\Downloads\"/>
    </mc:Choice>
  </mc:AlternateContent>
  <xr:revisionPtr revIDLastSave="0" documentId="8_{F210B648-6907-4F11-B9C5-9B8C8721E0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uestion" sheetId="3" r:id="rId1"/>
    <sheet name="LOV" sheetId="4" r:id="rId2"/>
    <sheet name="Input" sheetId="1" r:id="rId3"/>
    <sheet name="Summary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2" l="1"/>
  <c r="E19" i="2"/>
  <c r="B8" i="1"/>
  <c r="B7" i="1"/>
  <c r="B5" i="1"/>
  <c r="B4" i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D2" i="4"/>
  <c r="D3" i="4"/>
  <c r="D4" i="4"/>
  <c r="D5" i="4"/>
  <c r="D1" i="4"/>
  <c r="B6" i="1" l="1"/>
  <c r="B4" i="2"/>
  <c r="B3" i="2"/>
  <c r="B6" i="2" s="1"/>
  <c r="E17" i="2" l="1"/>
  <c r="E16" i="2"/>
</calcChain>
</file>

<file path=xl/sharedStrings.xml><?xml version="1.0" encoding="utf-8"?>
<sst xmlns="http://schemas.openxmlformats.org/spreadsheetml/2006/main" count="179" uniqueCount="134">
  <si>
    <t>Data Governance Assessment</t>
  </si>
  <si>
    <t>Area</t>
  </si>
  <si>
    <t>Score (1-5)</t>
  </si>
  <si>
    <t>Policy</t>
  </si>
  <si>
    <t>Data Quality</t>
  </si>
  <si>
    <t>Security</t>
  </si>
  <si>
    <t>Summary</t>
  </si>
  <si>
    <t>Total Score</t>
  </si>
  <si>
    <t>Average Score</t>
  </si>
  <si>
    <t>Maturity Level</t>
  </si>
  <si>
    <t>Apakah ada kebijakan tertulis terkait pengelolaan data?</t>
  </si>
  <si>
    <t>Apakah definisi data penting (customer, revenue, dll) sudah didokumentasikan?</t>
  </si>
  <si>
    <t>Apakah ada standar penamaan tabel/kolom?</t>
  </si>
  <si>
    <t>Apakah ada aturan terkait kualitas data?</t>
  </si>
  <si>
    <t>Apakah ada SOP untuk input dan update data?</t>
  </si>
  <si>
    <t>Apakah kebijakan data pernah disosialisasikan ke tim?</t>
  </si>
  <si>
    <t>Apakah ada standar format data (tanggal, nomor, dll)?</t>
  </si>
  <si>
    <t>Apakah ada aturan retensi data (berapa lama disimpan)?</t>
  </si>
  <si>
    <t>Apakah ada dokumentasi perubahan data (data change log)?</t>
  </si>
  <si>
    <t>Apakah kebijakan data ditinjau secara berkala?</t>
  </si>
  <si>
    <t>English</t>
  </si>
  <si>
    <t>No</t>
  </si>
  <si>
    <t>Apakah ada data owner untuk setiap jenis data?</t>
  </si>
  <si>
    <t>Apakah ada pihak yang bertanggung jawab atas kualitas data?</t>
  </si>
  <si>
    <t>Apakah peran pengelolaan data sudah jelas antar tim?</t>
  </si>
  <si>
    <t>Apakah ada data steward atau admin data?</t>
  </si>
  <si>
    <t>Apakah user tahu siapa yang harus dihubungi jika ada masalah data?</t>
  </si>
  <si>
    <t>Apakah tanggung jawab data tertulis secara formal?</t>
  </si>
  <si>
    <t>Apakah ada pelatihan terkait pengelolaan data?</t>
  </si>
  <si>
    <t>Apakah ada proses approval untuk perubahan data penting?</t>
  </si>
  <si>
    <t>Apakah ada monitoring terhadap kinerja pengelolaan data?</t>
  </si>
  <si>
    <t>Apakah tanggung jawab data berjalan konsisten di seluruh tim?</t>
  </si>
  <si>
    <t>Apakah data sering mengalami duplikasi?</t>
  </si>
  <si>
    <t>Apakah ada validasi saat input data?</t>
  </si>
  <si>
    <t>Apakah ada pengecekan data secara berkala?</t>
  </si>
  <si>
    <t>Apakah data sering kosong (missing value)?</t>
  </si>
  <si>
    <t>Apakah format data konsisten?</t>
  </si>
  <si>
    <t>Apakah ada standar kualitas data yang jelas?</t>
  </si>
  <si>
    <t>Apakah ada tools/query untuk mendeteksi error data?</t>
  </si>
  <si>
    <t>Apakah data yang digunakan untuk laporan sudah terpercaya?</t>
  </si>
  <si>
    <t>Apakah ada proses cleansing data?</t>
  </si>
  <si>
    <t>Apakah ada indikator/metric kualitas data?</t>
  </si>
  <si>
    <t>Apakah akses data dibatasi berdasarkan role?</t>
  </si>
  <si>
    <t>Apakah data sensitif (misal KTP/email) dilindungi?</t>
  </si>
  <si>
    <t>Apakah ada kontrol login (password, MFA)?</t>
  </si>
  <si>
    <t>Apakah ada audit log akses data?</t>
  </si>
  <si>
    <t>Apakah data dienkripsi (minimal di storage/transit)?</t>
  </si>
  <si>
    <t>Apakah ada prosedur jika terjadi kebocoran data?</t>
  </si>
  <si>
    <t>Apakah user hanya bisa akses data yang dibutuhkan?</t>
  </si>
  <si>
    <t>Apakah ada review akses secara berkala?</t>
  </si>
  <si>
    <t>Apakah data penting memiliki backup?</t>
  </si>
  <si>
    <t>Apakah backup diuji secara berkala?</t>
  </si>
  <si>
    <t>Apakah sumber data jelas?</t>
  </si>
  <si>
    <t>Apakah alur data dari input ke laporan terdokumentasi?</t>
  </si>
  <si>
    <t>Apakah ada proses ETL / pengolahan data yang jelas?</t>
  </si>
  <si>
    <t>Apakah data lama dibersihkan atau diarsipkan?</t>
  </si>
  <si>
    <t>Apakah ada kontrol terhadap perubahan data?</t>
  </si>
  <si>
    <t>Apakah ada versi data (versioning)?</t>
  </si>
  <si>
    <t>Apakah ada monitoring alur data?</t>
  </si>
  <si>
    <t>Apakah ada notifikasi jika proses data gagal?</t>
  </si>
  <si>
    <t>Apakah ada standar penyimpanan data?</t>
  </si>
  <si>
    <t>Apakah data yang tidak terpakai dihapus secara rutin?</t>
  </si>
  <si>
    <t>Is there a data owner for each type of data?</t>
  </si>
  <si>
    <t>Is there someone responsible for data quality?</t>
  </si>
  <si>
    <t>Are data management roles clearly defined across teams?</t>
  </si>
  <si>
    <t>Is there a data steward or data administrator?</t>
  </si>
  <si>
    <t>Do users know who to contact when there is a data issue?</t>
  </si>
  <si>
    <t>Are data responsibilities formally documented?</t>
  </si>
  <si>
    <t>Is there training related to data management?</t>
  </si>
  <si>
    <t>Is there an approval process for critical data changes?</t>
  </si>
  <si>
    <t>Is there monitoring of data management performance?</t>
  </si>
  <si>
    <t>Are data responsibilities consistently applied across teams?</t>
  </si>
  <si>
    <t>Is there a documented data governance policy?</t>
  </si>
  <si>
    <t>Are key data definitions (customer, revenue, etc.) documented?</t>
  </si>
  <si>
    <t>Are there naming standards for tables/columns?</t>
  </si>
  <si>
    <t>Are there rules related to data quality?</t>
  </si>
  <si>
    <t>Are there SOPs for data input and updates?</t>
  </si>
  <si>
    <t>Has the data policy been communicated to the team?</t>
  </si>
  <si>
    <t>Are there standard data formats (date, number, etc.)?</t>
  </si>
  <si>
    <t>Is there a data retention policy (how long data is stored)?</t>
  </si>
  <si>
    <t>Is there documentation of data changes (data change log)?</t>
  </si>
  <si>
    <t>Is the data policy reviewed periodically?</t>
  </si>
  <si>
    <t>Is data duplication a frequent issue?</t>
  </si>
  <si>
    <t>Is there validation during data input?</t>
  </si>
  <si>
    <t>Is data checked regularly?</t>
  </si>
  <si>
    <t>Is missing data a common issue?</t>
  </si>
  <si>
    <t>Is data format consistent?</t>
  </si>
  <si>
    <t>Are there clear data quality standards?</t>
  </si>
  <si>
    <t>Are there tools/queries to detect data errors?</t>
  </si>
  <si>
    <t>Is the data used for reporting reliable?</t>
  </si>
  <si>
    <t>Is there a data cleansing process?</t>
  </si>
  <si>
    <t>Are there data quality metrics or KPIs?</t>
  </si>
  <si>
    <t>Is data access restricted based on roles?</t>
  </si>
  <si>
    <t>Is sensitive data (e.g., ID numbers, emails) protected?</t>
  </si>
  <si>
    <t>Are there secure login controls (passwords, MFA)?</t>
  </si>
  <si>
    <t>Are there audit logs for data access?</t>
  </si>
  <si>
    <t>Is data encrypted (at least in storage/transit)?</t>
  </si>
  <si>
    <t>Is there a procedure for handling data breaches?</t>
  </si>
  <si>
    <t>Do users only have access to the data they need?</t>
  </si>
  <si>
    <t>Is access reviewed periodically?</t>
  </si>
  <si>
    <t>Is critical data backed up?</t>
  </si>
  <si>
    <t>Are backups tested regularly?</t>
  </si>
  <si>
    <t>Is the data source clearly identified?</t>
  </si>
  <si>
    <t>Is the data flow from input to reporting documented?</t>
  </si>
  <si>
    <t>Is there a clear ETL/data processing process?</t>
  </si>
  <si>
    <t>Is old data archived or cleaned up?</t>
  </si>
  <si>
    <t>Is there control over data changes?</t>
  </si>
  <si>
    <t>Is data versioning implemented?</t>
  </si>
  <si>
    <t>Is the data flow monitored?</t>
  </si>
  <si>
    <t>Are there alerts if data processes fail?</t>
  </si>
  <si>
    <t>Are there standards for data storage?</t>
  </si>
  <si>
    <t>Is unused data regularly deleted?</t>
  </si>
  <si>
    <t>Tidak ada sama sekali</t>
  </si>
  <si>
    <t>Ada, tapi belum jelas / tidak terdokumentasi</t>
  </si>
  <si>
    <t>Sudah ada, tapi belum konsisten</t>
  </si>
  <si>
    <t>Sudah berjalan dengan baik</t>
  </si>
  <si>
    <t>Sudah optimal dan terkontrol</t>
  </si>
  <si>
    <t>Not in place</t>
  </si>
  <si>
    <t>Exists but not clearly defined / not documented</t>
  </si>
  <si>
    <t>Defined but not consistently applied</t>
  </si>
  <si>
    <t>Well implemented</t>
  </si>
  <si>
    <t>Fully optimized and controlled</t>
  </si>
  <si>
    <t>1-Tidak ada sama sekali // Not in place</t>
  </si>
  <si>
    <t>2-Ada, tapi belum jelas / tidak terdokumentasi // Exists but not clearly defined / not documented</t>
  </si>
  <si>
    <t>choose Answer 1-5</t>
  </si>
  <si>
    <t>DATA GOVERNANCE ASSESMENT</t>
  </si>
  <si>
    <t>Bahasa Indonesia</t>
  </si>
  <si>
    <t>Score</t>
  </si>
  <si>
    <t>3-Sudah ada, tapi belum konsisten // Defined but not consistently applied</t>
  </si>
  <si>
    <t>4-Sudah berjalan dengan baik // Well implemented</t>
  </si>
  <si>
    <t>5-Sudah optimal dan terkontrol // Fully optimized and controlled</t>
  </si>
  <si>
    <t>Roles &amp; Responsibility</t>
  </si>
  <si>
    <t>Data Lifecycle</t>
  </si>
  <si>
    <t>Contact me: ajeng.vtri@gmail.com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</si>
</sst>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 wrapText="1"/>
    </xf>
    <xf numFmtId="0" fontId="7" fillId="0" borderId="2" xfId="0" applyFont="1" applyFill="1" applyBorder="1" applyAlignment="1">
      <alignment horizontal="left" vertical="top"/>
    </xf>
    <xf numFmtId="0" fontId="7" fillId="0" borderId="1" xfId="0" applyFont="1" applyFill="1" applyBorder="1" applyAlignment="1">
      <alignment horizontal="left" vertical="top" wrapText="1"/>
    </xf>
    <xf numFmtId="0" fontId="7" fillId="0" borderId="3" xfId="0" applyFont="1" applyFill="1" applyBorder="1" applyAlignment="1">
      <alignment horizontal="left" vertical="top" wrapText="1"/>
    </xf>
    <xf numFmtId="0" fontId="7" fillId="0" borderId="7" xfId="0" applyFont="1" applyFill="1" applyBorder="1" applyAlignment="1">
      <alignment horizontal="left" vertical="top"/>
    </xf>
    <xf numFmtId="0" fontId="7" fillId="0" borderId="8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0" borderId="0" xfId="0" applyFill="1" applyAlignment="1">
      <alignment horizontal="center" vertical="top"/>
    </xf>
    <xf numFmtId="0" fontId="5" fillId="0" borderId="0" xfId="1" applyAlignment="1">
      <alignment horizontal="left" vertical="top"/>
    </xf>
    <xf numFmtId="0" fontId="9" fillId="0" borderId="0" xfId="0" applyFont="1"/>
    <xf numFmtId="0" fontId="10" fillId="0" borderId="0" xfId="0" applyFont="1"/>
    <xf numFmtId="0" fontId="3" fillId="3" borderId="6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9">
    <dxf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border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0" defaultTableStyle="TableStyleMedium9" defaultPivotStyle="PivotStyleLight16"/>
  <colors>
    <mruColors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600"/>
              <a:t>Data Governance Radar</a:t>
            </a:r>
          </a:p>
        </c:rich>
      </c:tx>
      <c:layout>
        <c:manualLayout>
          <c:xMode val="edge"/>
          <c:yMode val="edge"/>
          <c:x val="0.56522851851851852"/>
          <c:y val="3.7629629629629631E-2"/>
        </c:manualLayout>
      </c:layout>
      <c:overlay val="1"/>
    </c:title>
    <c:autoTitleDeleted val="0"/>
    <c:plotArea>
      <c:layout/>
      <c:radarChart>
        <c:radarStyle val="marker"/>
        <c:varyColors val="1"/>
        <c:ser>
          <c:idx val="0"/>
          <c:order val="0"/>
          <c:tx>
            <c:strRef>
              <c:f>Input!$B$3</c:f>
              <c:strCache>
                <c:ptCount val="1"/>
                <c:pt idx="0">
                  <c:v>Score (1-5)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Input!$A$4:$A$8</c:f>
              <c:strCache>
                <c:ptCount val="5"/>
                <c:pt idx="0">
                  <c:v>Policy</c:v>
                </c:pt>
                <c:pt idx="1">
                  <c:v>Roles &amp; Responsibility</c:v>
                </c:pt>
                <c:pt idx="2">
                  <c:v>Data Quality</c:v>
                </c:pt>
                <c:pt idx="3">
                  <c:v>Security</c:v>
                </c:pt>
                <c:pt idx="4">
                  <c:v>Data Lifecycle</c:v>
                </c:pt>
              </c:strCache>
            </c:strRef>
          </c:cat>
          <c:val>
            <c:numRef>
              <c:f>Input!$B$4:$B$8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F9-4AB1-B6BF-006615125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38100</xdr:colOff>
      <xdr:row>0</xdr:row>
      <xdr:rowOff>66675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8EE0B5-B474-48D5-AB5C-534CF0CC81E2}" name="Table1" displayName="Table1" ref="B3:F53" totalsRowShown="0" dataDxfId="2" headerRowBorderDxfId="7" tableBorderDxfId="8" totalsRowBorderDxfId="6">
  <autoFilter ref="B3:F53" xr:uid="{C78EE0B5-B474-48D5-AB5C-534CF0CC81E2}"/>
  <tableColumns count="5">
    <tableColumn id="1" xr3:uid="{1AABB6D7-BB8E-4AFE-963E-9166BBD1222F}" name="No" dataDxfId="5"/>
    <tableColumn id="2" xr3:uid="{312F79F8-DC95-4431-88CC-B2E289EFABB1}" name="Bahasa Indonesia" dataDxfId="4"/>
    <tableColumn id="3" xr3:uid="{588803BE-D5E6-4F44-8E3B-45FE4EB3C470}" name="English" dataDxfId="3"/>
    <tableColumn id="4" xr3:uid="{06A777DC-A6FD-4F93-8080-0ECC92BB1A27}" name="choose Answer 1-5" dataDxfId="1"/>
    <tableColumn id="5" xr3:uid="{795DF2F6-BBFC-44C0-A793-71663A865292}" name="Score" dataDxfId="0">
      <calculatedColumnFormula>VLOOKUP(Table1[[#This Row],[choose Answer 1-5]],LOV!$D$1:$E$5,2,FALSE)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jeng.vtri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C6D85-78B6-4D07-80D0-A7EEB366D592}">
  <dimension ref="B1:F53"/>
  <sheetViews>
    <sheetView showGridLines="0" tabSelected="1" workbookViewId="0">
      <pane xSplit="3" ySplit="3" topLeftCell="D4" activePane="bottomRight" state="frozen"/>
      <selection pane="topRight" activeCell="C1" sqref="C1"/>
      <selection pane="bottomLeft" activeCell="A2" sqref="A2"/>
      <selection pane="bottomRight" activeCell="F5" sqref="F5"/>
    </sheetView>
  </sheetViews>
  <sheetFormatPr defaultRowHeight="15" x14ac:dyDescent="0.25"/>
  <cols>
    <col min="1" max="1" width="2" style="4" customWidth="1"/>
    <col min="2" max="2" width="5.7109375" style="4" customWidth="1"/>
    <col min="3" max="3" width="55.28515625" style="5" customWidth="1"/>
    <col min="4" max="4" width="47" style="5" customWidth="1"/>
    <col min="5" max="5" width="62" style="5" customWidth="1"/>
    <col min="6" max="6" width="11.140625" style="14" customWidth="1"/>
    <col min="7" max="16384" width="9.140625" style="4"/>
  </cols>
  <sheetData>
    <row r="1" spans="2:6" ht="23.25" x14ac:dyDescent="0.25">
      <c r="B1" s="6" t="s">
        <v>125</v>
      </c>
    </row>
    <row r="2" spans="2:6" x14ac:dyDescent="0.25">
      <c r="B2" s="16" t="s">
        <v>133</v>
      </c>
    </row>
    <row r="3" spans="2:6" x14ac:dyDescent="0.25">
      <c r="B3" s="7" t="s">
        <v>21</v>
      </c>
      <c r="C3" s="8" t="s">
        <v>126</v>
      </c>
      <c r="D3" s="8" t="s">
        <v>20</v>
      </c>
      <c r="E3" s="19" t="s">
        <v>124</v>
      </c>
      <c r="F3" s="8" t="s">
        <v>127</v>
      </c>
    </row>
    <row r="4" spans="2:6" x14ac:dyDescent="0.25">
      <c r="B4" s="9">
        <v>1</v>
      </c>
      <c r="C4" s="10" t="s">
        <v>10</v>
      </c>
      <c r="D4" s="10" t="s">
        <v>72</v>
      </c>
      <c r="E4" s="11" t="s">
        <v>122</v>
      </c>
      <c r="F4" s="15">
        <f>VLOOKUP(Table1[[#This Row],[choose Answer 1-5]],LOV!$D$1:$E$5,2,FALSE)</f>
        <v>1</v>
      </c>
    </row>
    <row r="5" spans="2:6" ht="30" x14ac:dyDescent="0.25">
      <c r="B5" s="9">
        <v>2</v>
      </c>
      <c r="C5" s="10" t="s">
        <v>11</v>
      </c>
      <c r="D5" s="10" t="s">
        <v>73</v>
      </c>
      <c r="E5" s="11" t="s">
        <v>122</v>
      </c>
      <c r="F5" s="15">
        <f>VLOOKUP(Table1[[#This Row],[choose Answer 1-5]],LOV!$D$1:$E$5,2,FALSE)</f>
        <v>1</v>
      </c>
    </row>
    <row r="6" spans="2:6" x14ac:dyDescent="0.25">
      <c r="B6" s="9">
        <v>3</v>
      </c>
      <c r="C6" s="10" t="s">
        <v>12</v>
      </c>
      <c r="D6" s="10" t="s">
        <v>74</v>
      </c>
      <c r="E6" s="11" t="s">
        <v>122</v>
      </c>
      <c r="F6" s="15">
        <f>VLOOKUP(Table1[[#This Row],[choose Answer 1-5]],LOV!$D$1:$E$5,2,FALSE)</f>
        <v>1</v>
      </c>
    </row>
    <row r="7" spans="2:6" x14ac:dyDescent="0.25">
      <c r="B7" s="9">
        <v>4</v>
      </c>
      <c r="C7" s="10" t="s">
        <v>13</v>
      </c>
      <c r="D7" s="10" t="s">
        <v>75</v>
      </c>
      <c r="E7" s="11" t="s">
        <v>122</v>
      </c>
      <c r="F7" s="15">
        <f>VLOOKUP(Table1[[#This Row],[choose Answer 1-5]],LOV!$D$1:$E$5,2,FALSE)</f>
        <v>1</v>
      </c>
    </row>
    <row r="8" spans="2:6" x14ac:dyDescent="0.25">
      <c r="B8" s="9">
        <v>5</v>
      </c>
      <c r="C8" s="10" t="s">
        <v>14</v>
      </c>
      <c r="D8" s="10" t="s">
        <v>76</v>
      </c>
      <c r="E8" s="11" t="s">
        <v>122</v>
      </c>
      <c r="F8" s="15">
        <f>VLOOKUP(Table1[[#This Row],[choose Answer 1-5]],LOV!$D$1:$E$5,2,FALSE)</f>
        <v>1</v>
      </c>
    </row>
    <row r="9" spans="2:6" ht="30" x14ac:dyDescent="0.25">
      <c r="B9" s="9">
        <v>6</v>
      </c>
      <c r="C9" s="10" t="s">
        <v>15</v>
      </c>
      <c r="D9" s="10" t="s">
        <v>77</v>
      </c>
      <c r="E9" s="11" t="s">
        <v>122</v>
      </c>
      <c r="F9" s="15">
        <f>VLOOKUP(Table1[[#This Row],[choose Answer 1-5]],LOV!$D$1:$E$5,2,FALSE)</f>
        <v>1</v>
      </c>
    </row>
    <row r="10" spans="2:6" ht="30" x14ac:dyDescent="0.25">
      <c r="B10" s="9">
        <v>7</v>
      </c>
      <c r="C10" s="10" t="s">
        <v>16</v>
      </c>
      <c r="D10" s="10" t="s">
        <v>78</v>
      </c>
      <c r="E10" s="11" t="s">
        <v>122</v>
      </c>
      <c r="F10" s="15">
        <f>VLOOKUP(Table1[[#This Row],[choose Answer 1-5]],LOV!$D$1:$E$5,2,FALSE)</f>
        <v>1</v>
      </c>
    </row>
    <row r="11" spans="2:6" ht="30" x14ac:dyDescent="0.25">
      <c r="B11" s="9">
        <v>8</v>
      </c>
      <c r="C11" s="10" t="s">
        <v>17</v>
      </c>
      <c r="D11" s="10" t="s">
        <v>79</v>
      </c>
      <c r="E11" s="11" t="s">
        <v>122</v>
      </c>
      <c r="F11" s="15">
        <f>VLOOKUP(Table1[[#This Row],[choose Answer 1-5]],LOV!$D$1:$E$5,2,FALSE)</f>
        <v>1</v>
      </c>
    </row>
    <row r="12" spans="2:6" ht="30" x14ac:dyDescent="0.25">
      <c r="B12" s="9">
        <v>9</v>
      </c>
      <c r="C12" s="10" t="s">
        <v>18</v>
      </c>
      <c r="D12" s="10" t="s">
        <v>80</v>
      </c>
      <c r="E12" s="11" t="s">
        <v>122</v>
      </c>
      <c r="F12" s="15">
        <f>VLOOKUP(Table1[[#This Row],[choose Answer 1-5]],LOV!$D$1:$E$5,2,FALSE)</f>
        <v>1</v>
      </c>
    </row>
    <row r="13" spans="2:6" x14ac:dyDescent="0.25">
      <c r="B13" s="9">
        <v>10</v>
      </c>
      <c r="C13" s="10" t="s">
        <v>19</v>
      </c>
      <c r="D13" s="10" t="s">
        <v>81</v>
      </c>
      <c r="E13" s="11" t="s">
        <v>122</v>
      </c>
      <c r="F13" s="15">
        <f>VLOOKUP(Table1[[#This Row],[choose Answer 1-5]],LOV!$D$1:$E$5,2,FALSE)</f>
        <v>1</v>
      </c>
    </row>
    <row r="14" spans="2:6" x14ac:dyDescent="0.25">
      <c r="B14" s="9">
        <v>11</v>
      </c>
      <c r="C14" s="10" t="s">
        <v>22</v>
      </c>
      <c r="D14" s="10" t="s">
        <v>62</v>
      </c>
      <c r="E14" s="11" t="s">
        <v>122</v>
      </c>
      <c r="F14" s="15">
        <f>VLOOKUP(Table1[[#This Row],[choose Answer 1-5]],LOV!$D$1:$E$5,2,FALSE)</f>
        <v>1</v>
      </c>
    </row>
    <row r="15" spans="2:6" ht="30" x14ac:dyDescent="0.25">
      <c r="B15" s="9">
        <v>12</v>
      </c>
      <c r="C15" s="10" t="s">
        <v>23</v>
      </c>
      <c r="D15" s="10" t="s">
        <v>63</v>
      </c>
      <c r="E15" s="11" t="s">
        <v>123</v>
      </c>
      <c r="F15" s="15">
        <f>VLOOKUP(Table1[[#This Row],[choose Answer 1-5]],LOV!$D$1:$E$5,2,FALSE)</f>
        <v>2</v>
      </c>
    </row>
    <row r="16" spans="2:6" ht="30" x14ac:dyDescent="0.25">
      <c r="B16" s="9">
        <v>13</v>
      </c>
      <c r="C16" s="10" t="s">
        <v>24</v>
      </c>
      <c r="D16" s="10" t="s">
        <v>64</v>
      </c>
      <c r="E16" s="11" t="s">
        <v>123</v>
      </c>
      <c r="F16" s="15">
        <f>VLOOKUP(Table1[[#This Row],[choose Answer 1-5]],LOV!$D$1:$E$5,2,FALSE)</f>
        <v>2</v>
      </c>
    </row>
    <row r="17" spans="2:6" ht="30" x14ac:dyDescent="0.25">
      <c r="B17" s="9">
        <v>14</v>
      </c>
      <c r="C17" s="10" t="s">
        <v>25</v>
      </c>
      <c r="D17" s="10" t="s">
        <v>65</v>
      </c>
      <c r="E17" s="11" t="s">
        <v>123</v>
      </c>
      <c r="F17" s="15">
        <f>VLOOKUP(Table1[[#This Row],[choose Answer 1-5]],LOV!$D$1:$E$5,2,FALSE)</f>
        <v>2</v>
      </c>
    </row>
    <row r="18" spans="2:6" ht="30" x14ac:dyDescent="0.25">
      <c r="B18" s="9">
        <v>15</v>
      </c>
      <c r="C18" s="10" t="s">
        <v>26</v>
      </c>
      <c r="D18" s="10" t="s">
        <v>66</v>
      </c>
      <c r="E18" s="11" t="s">
        <v>123</v>
      </c>
      <c r="F18" s="15">
        <f>VLOOKUP(Table1[[#This Row],[choose Answer 1-5]],LOV!$D$1:$E$5,2,FALSE)</f>
        <v>2</v>
      </c>
    </row>
    <row r="19" spans="2:6" ht="30" x14ac:dyDescent="0.25">
      <c r="B19" s="9">
        <v>16</v>
      </c>
      <c r="C19" s="10" t="s">
        <v>27</v>
      </c>
      <c r="D19" s="10" t="s">
        <v>67</v>
      </c>
      <c r="E19" s="11" t="s">
        <v>123</v>
      </c>
      <c r="F19" s="15">
        <f>VLOOKUP(Table1[[#This Row],[choose Answer 1-5]],LOV!$D$1:$E$5,2,FALSE)</f>
        <v>2</v>
      </c>
    </row>
    <row r="20" spans="2:6" ht="30" x14ac:dyDescent="0.25">
      <c r="B20" s="9">
        <v>17</v>
      </c>
      <c r="C20" s="10" t="s">
        <v>28</v>
      </c>
      <c r="D20" s="10" t="s">
        <v>68</v>
      </c>
      <c r="E20" s="11" t="s">
        <v>123</v>
      </c>
      <c r="F20" s="15">
        <f>VLOOKUP(Table1[[#This Row],[choose Answer 1-5]],LOV!$D$1:$E$5,2,FALSE)</f>
        <v>2</v>
      </c>
    </row>
    <row r="21" spans="2:6" ht="30" x14ac:dyDescent="0.25">
      <c r="B21" s="9">
        <v>18</v>
      </c>
      <c r="C21" s="10" t="s">
        <v>29</v>
      </c>
      <c r="D21" s="10" t="s">
        <v>69</v>
      </c>
      <c r="E21" s="11" t="s">
        <v>123</v>
      </c>
      <c r="F21" s="15">
        <f>VLOOKUP(Table1[[#This Row],[choose Answer 1-5]],LOV!$D$1:$E$5,2,FALSE)</f>
        <v>2</v>
      </c>
    </row>
    <row r="22" spans="2:6" ht="30" x14ac:dyDescent="0.25">
      <c r="B22" s="9">
        <v>19</v>
      </c>
      <c r="C22" s="10" t="s">
        <v>30</v>
      </c>
      <c r="D22" s="10" t="s">
        <v>70</v>
      </c>
      <c r="E22" s="11" t="s">
        <v>123</v>
      </c>
      <c r="F22" s="15">
        <f>VLOOKUP(Table1[[#This Row],[choose Answer 1-5]],LOV!$D$1:$E$5,2,FALSE)</f>
        <v>2</v>
      </c>
    </row>
    <row r="23" spans="2:6" ht="30" x14ac:dyDescent="0.25">
      <c r="B23" s="9">
        <v>20</v>
      </c>
      <c r="C23" s="10" t="s">
        <v>31</v>
      </c>
      <c r="D23" s="10" t="s">
        <v>71</v>
      </c>
      <c r="E23" s="11" t="s">
        <v>123</v>
      </c>
      <c r="F23" s="15">
        <f>VLOOKUP(Table1[[#This Row],[choose Answer 1-5]],LOV!$D$1:$E$5,2,FALSE)</f>
        <v>2</v>
      </c>
    </row>
    <row r="24" spans="2:6" ht="30" x14ac:dyDescent="0.25">
      <c r="B24" s="9">
        <v>21</v>
      </c>
      <c r="C24" s="10" t="s">
        <v>32</v>
      </c>
      <c r="D24" s="10" t="s">
        <v>82</v>
      </c>
      <c r="E24" s="11" t="s">
        <v>128</v>
      </c>
      <c r="F24" s="15">
        <f>VLOOKUP(Table1[[#This Row],[choose Answer 1-5]],LOV!$D$1:$E$5,2,FALSE)</f>
        <v>3</v>
      </c>
    </row>
    <row r="25" spans="2:6" ht="30" x14ac:dyDescent="0.25">
      <c r="B25" s="9">
        <v>22</v>
      </c>
      <c r="C25" s="10" t="s">
        <v>33</v>
      </c>
      <c r="D25" s="10" t="s">
        <v>83</v>
      </c>
      <c r="E25" s="11" t="s">
        <v>128</v>
      </c>
      <c r="F25" s="15">
        <f>VLOOKUP(Table1[[#This Row],[choose Answer 1-5]],LOV!$D$1:$E$5,2,FALSE)</f>
        <v>3</v>
      </c>
    </row>
    <row r="26" spans="2:6" ht="30" x14ac:dyDescent="0.25">
      <c r="B26" s="9">
        <v>23</v>
      </c>
      <c r="C26" s="10" t="s">
        <v>34</v>
      </c>
      <c r="D26" s="10" t="s">
        <v>84</v>
      </c>
      <c r="E26" s="11" t="s">
        <v>128</v>
      </c>
      <c r="F26" s="15">
        <f>VLOOKUP(Table1[[#This Row],[choose Answer 1-5]],LOV!$D$1:$E$5,2,FALSE)</f>
        <v>3</v>
      </c>
    </row>
    <row r="27" spans="2:6" ht="30" x14ac:dyDescent="0.25">
      <c r="B27" s="9">
        <v>24</v>
      </c>
      <c r="C27" s="10" t="s">
        <v>35</v>
      </c>
      <c r="D27" s="10" t="s">
        <v>85</v>
      </c>
      <c r="E27" s="11" t="s">
        <v>128</v>
      </c>
      <c r="F27" s="15">
        <f>VLOOKUP(Table1[[#This Row],[choose Answer 1-5]],LOV!$D$1:$E$5,2,FALSE)</f>
        <v>3</v>
      </c>
    </row>
    <row r="28" spans="2:6" ht="30" x14ac:dyDescent="0.25">
      <c r="B28" s="9">
        <v>25</v>
      </c>
      <c r="C28" s="10" t="s">
        <v>36</v>
      </c>
      <c r="D28" s="10" t="s">
        <v>86</v>
      </c>
      <c r="E28" s="11" t="s">
        <v>128</v>
      </c>
      <c r="F28" s="15">
        <f>VLOOKUP(Table1[[#This Row],[choose Answer 1-5]],LOV!$D$1:$E$5,2,FALSE)</f>
        <v>3</v>
      </c>
    </row>
    <row r="29" spans="2:6" ht="30" x14ac:dyDescent="0.25">
      <c r="B29" s="9">
        <v>26</v>
      </c>
      <c r="C29" s="10" t="s">
        <v>37</v>
      </c>
      <c r="D29" s="10" t="s">
        <v>87</v>
      </c>
      <c r="E29" s="11" t="s">
        <v>128</v>
      </c>
      <c r="F29" s="15">
        <f>VLOOKUP(Table1[[#This Row],[choose Answer 1-5]],LOV!$D$1:$E$5,2,FALSE)</f>
        <v>3</v>
      </c>
    </row>
    <row r="30" spans="2:6" ht="30" x14ac:dyDescent="0.25">
      <c r="B30" s="9">
        <v>27</v>
      </c>
      <c r="C30" s="10" t="s">
        <v>38</v>
      </c>
      <c r="D30" s="10" t="s">
        <v>88</v>
      </c>
      <c r="E30" s="11" t="s">
        <v>128</v>
      </c>
      <c r="F30" s="15">
        <f>VLOOKUP(Table1[[#This Row],[choose Answer 1-5]],LOV!$D$1:$E$5,2,FALSE)</f>
        <v>3</v>
      </c>
    </row>
    <row r="31" spans="2:6" ht="30" x14ac:dyDescent="0.25">
      <c r="B31" s="9">
        <v>28</v>
      </c>
      <c r="C31" s="10" t="s">
        <v>39</v>
      </c>
      <c r="D31" s="10" t="s">
        <v>89</v>
      </c>
      <c r="E31" s="11" t="s">
        <v>128</v>
      </c>
      <c r="F31" s="15">
        <f>VLOOKUP(Table1[[#This Row],[choose Answer 1-5]],LOV!$D$1:$E$5,2,FALSE)</f>
        <v>3</v>
      </c>
    </row>
    <row r="32" spans="2:6" ht="30" x14ac:dyDescent="0.25">
      <c r="B32" s="9">
        <v>29</v>
      </c>
      <c r="C32" s="10" t="s">
        <v>40</v>
      </c>
      <c r="D32" s="10" t="s">
        <v>90</v>
      </c>
      <c r="E32" s="11" t="s">
        <v>128</v>
      </c>
      <c r="F32" s="15">
        <f>VLOOKUP(Table1[[#This Row],[choose Answer 1-5]],LOV!$D$1:$E$5,2,FALSE)</f>
        <v>3</v>
      </c>
    </row>
    <row r="33" spans="2:6" ht="30" x14ac:dyDescent="0.25">
      <c r="B33" s="9">
        <v>30</v>
      </c>
      <c r="C33" s="10" t="s">
        <v>41</v>
      </c>
      <c r="D33" s="10" t="s">
        <v>91</v>
      </c>
      <c r="E33" s="11" t="s">
        <v>128</v>
      </c>
      <c r="F33" s="15">
        <f>VLOOKUP(Table1[[#This Row],[choose Answer 1-5]],LOV!$D$1:$E$5,2,FALSE)</f>
        <v>3</v>
      </c>
    </row>
    <row r="34" spans="2:6" x14ac:dyDescent="0.25">
      <c r="B34" s="9">
        <v>31</v>
      </c>
      <c r="C34" s="10" t="s">
        <v>42</v>
      </c>
      <c r="D34" s="10" t="s">
        <v>92</v>
      </c>
      <c r="E34" s="11" t="s">
        <v>129</v>
      </c>
      <c r="F34" s="15">
        <f>VLOOKUP(Table1[[#This Row],[choose Answer 1-5]],LOV!$D$1:$E$5,2,FALSE)</f>
        <v>4</v>
      </c>
    </row>
    <row r="35" spans="2:6" ht="30" x14ac:dyDescent="0.25">
      <c r="B35" s="9">
        <v>32</v>
      </c>
      <c r="C35" s="10" t="s">
        <v>43</v>
      </c>
      <c r="D35" s="10" t="s">
        <v>93</v>
      </c>
      <c r="E35" s="11" t="s">
        <v>129</v>
      </c>
      <c r="F35" s="15">
        <f>VLOOKUP(Table1[[#This Row],[choose Answer 1-5]],LOV!$D$1:$E$5,2,FALSE)</f>
        <v>4</v>
      </c>
    </row>
    <row r="36" spans="2:6" x14ac:dyDescent="0.25">
      <c r="B36" s="9">
        <v>33</v>
      </c>
      <c r="C36" s="10" t="s">
        <v>44</v>
      </c>
      <c r="D36" s="10" t="s">
        <v>94</v>
      </c>
      <c r="E36" s="11" t="s">
        <v>129</v>
      </c>
      <c r="F36" s="15">
        <f>VLOOKUP(Table1[[#This Row],[choose Answer 1-5]],LOV!$D$1:$E$5,2,FALSE)</f>
        <v>4</v>
      </c>
    </row>
    <row r="37" spans="2:6" x14ac:dyDescent="0.25">
      <c r="B37" s="9">
        <v>34</v>
      </c>
      <c r="C37" s="10" t="s">
        <v>45</v>
      </c>
      <c r="D37" s="10" t="s">
        <v>95</v>
      </c>
      <c r="E37" s="11" t="s">
        <v>129</v>
      </c>
      <c r="F37" s="15">
        <f>VLOOKUP(Table1[[#This Row],[choose Answer 1-5]],LOV!$D$1:$E$5,2,FALSE)</f>
        <v>4</v>
      </c>
    </row>
    <row r="38" spans="2:6" x14ac:dyDescent="0.25">
      <c r="B38" s="9">
        <v>35</v>
      </c>
      <c r="C38" s="10" t="s">
        <v>46</v>
      </c>
      <c r="D38" s="10" t="s">
        <v>96</v>
      </c>
      <c r="E38" s="11" t="s">
        <v>129</v>
      </c>
      <c r="F38" s="15">
        <f>VLOOKUP(Table1[[#This Row],[choose Answer 1-5]],LOV!$D$1:$E$5,2,FALSE)</f>
        <v>4</v>
      </c>
    </row>
    <row r="39" spans="2:6" x14ac:dyDescent="0.25">
      <c r="B39" s="9">
        <v>36</v>
      </c>
      <c r="C39" s="10" t="s">
        <v>47</v>
      </c>
      <c r="D39" s="10" t="s">
        <v>97</v>
      </c>
      <c r="E39" s="11" t="s">
        <v>129</v>
      </c>
      <c r="F39" s="15">
        <f>VLOOKUP(Table1[[#This Row],[choose Answer 1-5]],LOV!$D$1:$E$5,2,FALSE)</f>
        <v>4</v>
      </c>
    </row>
    <row r="40" spans="2:6" x14ac:dyDescent="0.25">
      <c r="B40" s="9">
        <v>37</v>
      </c>
      <c r="C40" s="10" t="s">
        <v>48</v>
      </c>
      <c r="D40" s="10" t="s">
        <v>98</v>
      </c>
      <c r="E40" s="11" t="s">
        <v>129</v>
      </c>
      <c r="F40" s="15">
        <f>VLOOKUP(Table1[[#This Row],[choose Answer 1-5]],LOV!$D$1:$E$5,2,FALSE)</f>
        <v>4</v>
      </c>
    </row>
    <row r="41" spans="2:6" x14ac:dyDescent="0.25">
      <c r="B41" s="9">
        <v>38</v>
      </c>
      <c r="C41" s="10" t="s">
        <v>49</v>
      </c>
      <c r="D41" s="10" t="s">
        <v>99</v>
      </c>
      <c r="E41" s="11" t="s">
        <v>129</v>
      </c>
      <c r="F41" s="15">
        <f>VLOOKUP(Table1[[#This Row],[choose Answer 1-5]],LOV!$D$1:$E$5,2,FALSE)</f>
        <v>4</v>
      </c>
    </row>
    <row r="42" spans="2:6" x14ac:dyDescent="0.25">
      <c r="B42" s="9">
        <v>39</v>
      </c>
      <c r="C42" s="10" t="s">
        <v>50</v>
      </c>
      <c r="D42" s="10" t="s">
        <v>100</v>
      </c>
      <c r="E42" s="11" t="s">
        <v>129</v>
      </c>
      <c r="F42" s="15">
        <f>VLOOKUP(Table1[[#This Row],[choose Answer 1-5]],LOV!$D$1:$E$5,2,FALSE)</f>
        <v>4</v>
      </c>
    </row>
    <row r="43" spans="2:6" x14ac:dyDescent="0.25">
      <c r="B43" s="9">
        <v>40</v>
      </c>
      <c r="C43" s="10" t="s">
        <v>51</v>
      </c>
      <c r="D43" s="10" t="s">
        <v>101</v>
      </c>
      <c r="E43" s="11" t="s">
        <v>129</v>
      </c>
      <c r="F43" s="15">
        <f>VLOOKUP(Table1[[#This Row],[choose Answer 1-5]],LOV!$D$1:$E$5,2,FALSE)</f>
        <v>4</v>
      </c>
    </row>
    <row r="44" spans="2:6" x14ac:dyDescent="0.25">
      <c r="B44" s="9">
        <v>41</v>
      </c>
      <c r="C44" s="10" t="s">
        <v>52</v>
      </c>
      <c r="D44" s="10" t="s">
        <v>102</v>
      </c>
      <c r="E44" s="11" t="s">
        <v>130</v>
      </c>
      <c r="F44" s="15">
        <f>VLOOKUP(Table1[[#This Row],[choose Answer 1-5]],LOV!$D$1:$E$5,2,FALSE)</f>
        <v>5</v>
      </c>
    </row>
    <row r="45" spans="2:6" ht="30" x14ac:dyDescent="0.25">
      <c r="B45" s="9">
        <v>42</v>
      </c>
      <c r="C45" s="10" t="s">
        <v>53</v>
      </c>
      <c r="D45" s="10" t="s">
        <v>103</v>
      </c>
      <c r="E45" s="11" t="s">
        <v>130</v>
      </c>
      <c r="F45" s="15">
        <f>VLOOKUP(Table1[[#This Row],[choose Answer 1-5]],LOV!$D$1:$E$5,2,FALSE)</f>
        <v>5</v>
      </c>
    </row>
    <row r="46" spans="2:6" x14ac:dyDescent="0.25">
      <c r="B46" s="9">
        <v>43</v>
      </c>
      <c r="C46" s="10" t="s">
        <v>54</v>
      </c>
      <c r="D46" s="10" t="s">
        <v>104</v>
      </c>
      <c r="E46" s="11" t="s">
        <v>130</v>
      </c>
      <c r="F46" s="15">
        <f>VLOOKUP(Table1[[#This Row],[choose Answer 1-5]],LOV!$D$1:$E$5,2,FALSE)</f>
        <v>5</v>
      </c>
    </row>
    <row r="47" spans="2:6" x14ac:dyDescent="0.25">
      <c r="B47" s="9">
        <v>44</v>
      </c>
      <c r="C47" s="10" t="s">
        <v>55</v>
      </c>
      <c r="D47" s="10" t="s">
        <v>105</v>
      </c>
      <c r="E47" s="11" t="s">
        <v>130</v>
      </c>
      <c r="F47" s="15">
        <f>VLOOKUP(Table1[[#This Row],[choose Answer 1-5]],LOV!$D$1:$E$5,2,FALSE)</f>
        <v>5</v>
      </c>
    </row>
    <row r="48" spans="2:6" x14ac:dyDescent="0.25">
      <c r="B48" s="9">
        <v>45</v>
      </c>
      <c r="C48" s="10" t="s">
        <v>56</v>
      </c>
      <c r="D48" s="10" t="s">
        <v>106</v>
      </c>
      <c r="E48" s="11" t="s">
        <v>130</v>
      </c>
      <c r="F48" s="15">
        <f>VLOOKUP(Table1[[#This Row],[choose Answer 1-5]],LOV!$D$1:$E$5,2,FALSE)</f>
        <v>5</v>
      </c>
    </row>
    <row r="49" spans="2:6" x14ac:dyDescent="0.25">
      <c r="B49" s="9">
        <v>46</v>
      </c>
      <c r="C49" s="10" t="s">
        <v>57</v>
      </c>
      <c r="D49" s="10" t="s">
        <v>107</v>
      </c>
      <c r="E49" s="11" t="s">
        <v>130</v>
      </c>
      <c r="F49" s="15">
        <f>VLOOKUP(Table1[[#This Row],[choose Answer 1-5]],LOV!$D$1:$E$5,2,FALSE)</f>
        <v>5</v>
      </c>
    </row>
    <row r="50" spans="2:6" x14ac:dyDescent="0.25">
      <c r="B50" s="9">
        <v>47</v>
      </c>
      <c r="C50" s="10" t="s">
        <v>58</v>
      </c>
      <c r="D50" s="10" t="s">
        <v>108</v>
      </c>
      <c r="E50" s="11" t="s">
        <v>130</v>
      </c>
      <c r="F50" s="15">
        <f>VLOOKUP(Table1[[#This Row],[choose Answer 1-5]],LOV!$D$1:$E$5,2,FALSE)</f>
        <v>5</v>
      </c>
    </row>
    <row r="51" spans="2:6" x14ac:dyDescent="0.25">
      <c r="B51" s="9">
        <v>48</v>
      </c>
      <c r="C51" s="10" t="s">
        <v>59</v>
      </c>
      <c r="D51" s="10" t="s">
        <v>109</v>
      </c>
      <c r="E51" s="11" t="s">
        <v>130</v>
      </c>
      <c r="F51" s="15">
        <f>VLOOKUP(Table1[[#This Row],[choose Answer 1-5]],LOV!$D$1:$E$5,2,FALSE)</f>
        <v>5</v>
      </c>
    </row>
    <row r="52" spans="2:6" x14ac:dyDescent="0.25">
      <c r="B52" s="9">
        <v>49</v>
      </c>
      <c r="C52" s="10" t="s">
        <v>60</v>
      </c>
      <c r="D52" s="10" t="s">
        <v>110</v>
      </c>
      <c r="E52" s="11" t="s">
        <v>130</v>
      </c>
      <c r="F52" s="15">
        <f>VLOOKUP(Table1[[#This Row],[choose Answer 1-5]],LOV!$D$1:$E$5,2,FALSE)</f>
        <v>5</v>
      </c>
    </row>
    <row r="53" spans="2:6" x14ac:dyDescent="0.25">
      <c r="B53" s="12">
        <v>50</v>
      </c>
      <c r="C53" s="13" t="s">
        <v>61</v>
      </c>
      <c r="D53" s="13" t="s">
        <v>111</v>
      </c>
      <c r="E53" s="11" t="s">
        <v>130</v>
      </c>
      <c r="F53" s="15">
        <f>VLOOKUP(Table1[[#This Row],[choose Answer 1-5]],LOV!$D$1:$E$5,2,FALSE)</f>
        <v>5</v>
      </c>
    </row>
  </sheetData>
  <phoneticPr fontId="8" type="noConversion"/>
  <hyperlinks>
    <hyperlink ref="B2" r:id="rId1" display="ajeng.vtri@gmail.com" xr:uid="{199161B9-9331-49B9-A0D8-B28612726562}"/>
  </hyperlink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EBCE86A-4C50-48A0-A01A-627B6794B535}">
          <x14:formula1>
            <xm:f>LOV!$D$1:$D$5</xm:f>
          </x14:formula1>
          <xm:sqref>E4:E53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6B042-3093-4D61-9485-DBB58404DC75}">
  <dimension ref="A1:E5"/>
  <sheetViews>
    <sheetView topLeftCell="C1" workbookViewId="0">
      <selection activeCell="E6" sqref="E6"/>
    </sheetView>
  </sheetViews>
  <sheetFormatPr defaultColWidth="16.42578125" defaultRowHeight="15" x14ac:dyDescent="0.25"/>
  <cols>
    <col min="1" max="1" width="2" bestFit="1" customWidth="1"/>
    <col min="2" max="2" width="46.7109375" customWidth="1"/>
    <col min="3" max="3" width="51.5703125" customWidth="1"/>
    <col min="4" max="4" width="89.28515625" bestFit="1" customWidth="1"/>
  </cols>
  <sheetData>
    <row r="1" spans="1:5" x14ac:dyDescent="0.25">
      <c r="A1" s="3">
        <v>1</v>
      </c>
      <c r="B1" s="3" t="s">
        <v>112</v>
      </c>
      <c r="C1" s="3" t="s">
        <v>117</v>
      </c>
      <c r="D1" t="str">
        <f>A1&amp;"-"&amp;B1&amp;" // "&amp;C1</f>
        <v>1-Tidak ada sama sekali // Not in place</v>
      </c>
      <c r="E1">
        <v>1</v>
      </c>
    </row>
    <row r="2" spans="1:5" x14ac:dyDescent="0.25">
      <c r="A2" s="3">
        <v>2</v>
      </c>
      <c r="B2" s="3" t="s">
        <v>113</v>
      </c>
      <c r="C2" s="3" t="s">
        <v>118</v>
      </c>
      <c r="D2" t="str">
        <f t="shared" ref="D2:D5" si="0">A2&amp;"-"&amp;B2&amp;" // "&amp;C2</f>
        <v>2-Ada, tapi belum jelas / tidak terdokumentasi // Exists but not clearly defined / not documented</v>
      </c>
      <c r="E2">
        <v>2</v>
      </c>
    </row>
    <row r="3" spans="1:5" x14ac:dyDescent="0.25">
      <c r="A3" s="3">
        <v>3</v>
      </c>
      <c r="B3" s="3" t="s">
        <v>114</v>
      </c>
      <c r="C3" s="3" t="s">
        <v>119</v>
      </c>
      <c r="D3" t="str">
        <f t="shared" si="0"/>
        <v>3-Sudah ada, tapi belum konsisten // Defined but not consistently applied</v>
      </c>
      <c r="E3">
        <v>3</v>
      </c>
    </row>
    <row r="4" spans="1:5" x14ac:dyDescent="0.25">
      <c r="A4" s="3">
        <v>4</v>
      </c>
      <c r="B4" s="3" t="s">
        <v>115</v>
      </c>
      <c r="C4" s="3" t="s">
        <v>120</v>
      </c>
      <c r="D4" t="str">
        <f t="shared" si="0"/>
        <v>4-Sudah berjalan dengan baik // Well implemented</v>
      </c>
      <c r="E4">
        <v>4</v>
      </c>
    </row>
    <row r="5" spans="1:5" x14ac:dyDescent="0.25">
      <c r="A5" s="3">
        <v>5</v>
      </c>
      <c r="B5" s="3" t="s">
        <v>116</v>
      </c>
      <c r="C5" s="3" t="s">
        <v>121</v>
      </c>
      <c r="D5" t="str">
        <f t="shared" si="0"/>
        <v>5-Sudah optimal dan terkontrol // Fully optimized and controlled</v>
      </c>
      <c r="E5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A9" sqref="A9"/>
    </sheetView>
  </sheetViews>
  <sheetFormatPr defaultRowHeight="15" x14ac:dyDescent="0.25"/>
  <cols>
    <col min="1" max="1" width="20" customWidth="1"/>
    <col min="2" max="2" width="18" customWidth="1"/>
  </cols>
  <sheetData>
    <row r="1" spans="1:2" ht="18.75" x14ac:dyDescent="0.3">
      <c r="A1" s="1" t="s">
        <v>0</v>
      </c>
    </row>
    <row r="3" spans="1:2" x14ac:dyDescent="0.25">
      <c r="A3" s="2" t="s">
        <v>1</v>
      </c>
      <c r="B3" s="2" t="s">
        <v>2</v>
      </c>
    </row>
    <row r="4" spans="1:2" x14ac:dyDescent="0.25">
      <c r="A4" t="s">
        <v>3</v>
      </c>
      <c r="B4">
        <f>AVERAGE(Question!F4:F13)</f>
        <v>1</v>
      </c>
    </row>
    <row r="5" spans="1:2" x14ac:dyDescent="0.25">
      <c r="A5" t="s">
        <v>131</v>
      </c>
      <c r="B5">
        <f>AVERAGE(Question!F15:F23)</f>
        <v>2</v>
      </c>
    </row>
    <row r="6" spans="1:2" x14ac:dyDescent="0.25">
      <c r="A6" t="s">
        <v>4</v>
      </c>
      <c r="B6">
        <f>AVERAGE(Question!F24:F33)</f>
        <v>3</v>
      </c>
    </row>
    <row r="7" spans="1:2" x14ac:dyDescent="0.25">
      <c r="A7" t="s">
        <v>5</v>
      </c>
      <c r="B7">
        <f>AVERAGE(Question!F34:F43)</f>
        <v>4</v>
      </c>
    </row>
    <row r="8" spans="1:2" x14ac:dyDescent="0.25">
      <c r="A8" t="s">
        <v>132</v>
      </c>
      <c r="B8">
        <f>AVERAGE(Question!F44:F53)</f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>
      <selection activeCell="F20" sqref="F20"/>
    </sheetView>
  </sheetViews>
  <sheetFormatPr defaultRowHeight="15" x14ac:dyDescent="0.25"/>
  <cols>
    <col min="1" max="1" width="15" customWidth="1"/>
  </cols>
  <sheetData>
    <row r="1" spans="1:5" ht="18.75" x14ac:dyDescent="0.3">
      <c r="A1" s="1" t="s">
        <v>6</v>
      </c>
    </row>
    <row r="3" spans="1:5" x14ac:dyDescent="0.25">
      <c r="A3" t="s">
        <v>7</v>
      </c>
      <c r="B3">
        <f>SUM(Input!B4:B8)</f>
        <v>15</v>
      </c>
    </row>
    <row r="4" spans="1:5" x14ac:dyDescent="0.25">
      <c r="A4" t="s">
        <v>8</v>
      </c>
      <c r="B4">
        <f>AVERAGE(Input!B4:B8)</f>
        <v>3</v>
      </c>
    </row>
    <row r="6" spans="1:5" x14ac:dyDescent="0.25">
      <c r="A6" t="s">
        <v>9</v>
      </c>
      <c r="B6" t="str">
        <f>IF(B3&lt;=10,"Low",IF(B3&lt;=18,"Medium","High"))</f>
        <v>Medium</v>
      </c>
    </row>
    <row r="16" spans="1:5" x14ac:dyDescent="0.25">
      <c r="E16" s="17" t="str">
        <f>IF(B4&lt;2.5,
"Perlu perbaikan serius. Area ini berisiko menyebabkan masalah data.",
IF(B4&lt;3.5,
"Sudah berjalan namun belum konsisten.",
"Sudah baik dan terkontrol."
))</f>
        <v>Sudah berjalan namun belum konsisten.</v>
      </c>
    </row>
    <row r="17" spans="5:5" x14ac:dyDescent="0.25">
      <c r="E17" t="str">
        <f>IF(AVERAGE(Input!B4:B8)&lt;2.5,
"Secara keseluruhan, tata kelola data masih lemah dan berpotensi menimbulkan inkonsistensi serta risiko operasional.",
IF(AVERAGE(B4:B8)&lt;3.5,
"Tata kelola data sudah berjalan namun belum merata. Diperlukan peningkatan di beberapa area kunci.",
"Tata kelola data sudah cukup matang dengan kontrol yang baik dan konsisten."
))</f>
        <v>Tata kelola data sudah berjalan namun belum merata. Diperlukan peningkatan di beberapa area kunci.</v>
      </c>
    </row>
    <row r="19" spans="5:5" x14ac:dyDescent="0.25">
      <c r="E19" s="18" t="str">
        <f>IF(B4&lt;2.5,
"This area needs serious improvement and may cause data issues.",
IF(B4&lt;3.5,
"This area exists but is not yet consistent.",
"This area is working well and under control."
))</f>
        <v>This area exists but is not yet consistent.</v>
      </c>
    </row>
    <row r="20" spans="5:5" x14ac:dyDescent="0.25">
      <c r="E20" t="str">
        <f>IF(AVERAGE(Input!B4:B8)&lt;2.5,
"Overall, data governance is underdeveloped and presents a high risk of inconsistencies and operational issues.",
IF(AVERAGE(B4:B8)&lt;3.5,
"Data governance has been established but is not yet consistently implemented. Further improvement is required in key areas.",
"Data governance is well-established, with strong and consistently applied controls."
))</f>
        <v>Data governance has been established but is not yet consistently implemented. Further improvement is required in key areas.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</vt:lpstr>
      <vt:lpstr>LOV</vt:lpstr>
      <vt:lpstr>Input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ajeng fitrianingtyas</cp:lastModifiedBy>
  <dcterms:created xsi:type="dcterms:W3CDTF">2026-05-04T01:53:19Z</dcterms:created>
  <dcterms:modified xsi:type="dcterms:W3CDTF">2026-05-04T14:14:30Z</dcterms:modified>
</cp:coreProperties>
</file>